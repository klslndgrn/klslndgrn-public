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FISCHER\Desktop\"/>
    </mc:Choice>
  </mc:AlternateContent>
  <xr:revisionPtr revIDLastSave="0" documentId="13_ncr:1_{DF1911F0-4B07-4608-8053-39D593C331DF}" xr6:coauthVersionLast="45" xr6:coauthVersionMax="45" xr10:uidLastSave="{00000000-0000-0000-0000-000000000000}"/>
  <bookViews>
    <workbookView xWindow="1524" yWindow="348" windowWidth="17916" windowHeight="11856" xr2:uid="{C4F57A41-D6D9-41D4-B089-9C48D86D7AB6}"/>
  </bookViews>
  <sheets>
    <sheet name="SMA plants" sheetId="1" r:id="rId1"/>
    <sheet name="API fee-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1" l="1"/>
  <c r="D16" i="1" s="1"/>
  <c r="E16" i="1" s="1"/>
  <c r="C15" i="1"/>
  <c r="D15" i="1" s="1"/>
  <c r="E15" i="1" s="1"/>
  <c r="C14" i="1"/>
  <c r="D14" i="1" s="1"/>
  <c r="E14" i="1" s="1"/>
  <c r="C13" i="1"/>
  <c r="D13" i="1" s="1"/>
  <c r="E13" i="1" s="1"/>
  <c r="C12" i="1"/>
  <c r="D12" i="1" s="1"/>
  <c r="E12" i="1" s="1"/>
  <c r="C11" i="1"/>
  <c r="D11" i="1" s="1"/>
  <c r="E11" i="1" s="1"/>
  <c r="C10" i="1"/>
  <c r="D10" i="1" s="1"/>
  <c r="E10" i="1" s="1"/>
  <c r="C2" i="1"/>
  <c r="C4" i="1" l="1"/>
  <c r="D4" i="1" s="1"/>
  <c r="E4" i="1" s="1"/>
  <c r="C6" i="1"/>
  <c r="D6" i="1" s="1"/>
  <c r="E6" i="1" s="1"/>
  <c r="C9" i="1"/>
  <c r="D9" i="1" s="1"/>
  <c r="E9" i="1" s="1"/>
  <c r="C5" i="1"/>
  <c r="D5" i="1" s="1"/>
  <c r="E5" i="1" s="1"/>
  <c r="C8" i="1"/>
  <c r="D8" i="1" s="1"/>
  <c r="E8" i="1" s="1"/>
  <c r="C7" i="1"/>
  <c r="D7" i="1" s="1"/>
  <c r="E7" i="1" s="1"/>
  <c r="C3" i="1"/>
  <c r="D3" i="1" s="1"/>
  <c r="E3" i="1" s="1"/>
  <c r="D2" i="1"/>
  <c r="E2" i="1" s="1"/>
  <c r="E21" i="1" l="1"/>
  <c r="D21" i="1"/>
</calcChain>
</file>

<file path=xl/sharedStrings.xml><?xml version="1.0" encoding="utf-8"?>
<sst xmlns="http://schemas.openxmlformats.org/spreadsheetml/2006/main" count="26" uniqueCount="26">
  <si>
    <t>kWp</t>
  </si>
  <si>
    <t>Tier End</t>
  </si>
  <si>
    <t>Tier Start</t>
  </si>
  <si>
    <t>Base</t>
  </si>
  <si>
    <t>Factor</t>
  </si>
  <si>
    <t>kWac</t>
  </si>
  <si>
    <t>SUM</t>
  </si>
  <si>
    <t>API-fee/month</t>
  </si>
  <si>
    <t>API-fee/year</t>
  </si>
  <si>
    <t>Plants</t>
  </si>
  <si>
    <t>Sunnyportal plant1</t>
  </si>
  <si>
    <t>Sunnyportal plant2</t>
  </si>
  <si>
    <t>Sunnyportal plant3</t>
  </si>
  <si>
    <t>Sunnyportal plant4</t>
  </si>
  <si>
    <t>Sunnyportal plant5</t>
  </si>
  <si>
    <t>Sunnyportal plant6</t>
  </si>
  <si>
    <t>Sunnyportal plant7</t>
  </si>
  <si>
    <t>Sunnyportal plant8</t>
  </si>
  <si>
    <t>Sunnyportal plant9</t>
  </si>
  <si>
    <t>Sunnyportal plant10</t>
  </si>
  <si>
    <t>Sunnyportal plant11</t>
  </si>
  <si>
    <t>Sunnyportal plant12</t>
  </si>
  <si>
    <t>Sunnyportal plant13</t>
  </si>
  <si>
    <t>Sunnyportal plant14</t>
  </si>
  <si>
    <t>Sunnyportal plant15</t>
  </si>
  <si>
    <t>kWp to kWac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</si>
</sst>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_-* #,##0.00\ [$€-407]_-;\-* #,##0.00\ [$€-407]_-;_-* &quot;-&quot;??\ [$€-407]_-;_-@_-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/>
    </xf>
    <xf numFmtId="164" fontId="0" fillId="0" borderId="0" xfId="0" applyNumberFormat="1"/>
    <xf numFmtId="6" fontId="1" fillId="0" borderId="0" xfId="0" applyNumberFormat="1" applyFont="1"/>
    <xf numFmtId="0" fontId="0" fillId="0" borderId="1" xfId="0" applyBorder="1"/>
    <xf numFmtId="0" fontId="1" fillId="2" borderId="1" xfId="0" applyFont="1" applyFill="1" applyBorder="1"/>
    <xf numFmtId="165" fontId="1" fillId="0" borderId="0" xfId="1" applyNumberFormat="1" applyFont="1" applyFill="1"/>
    <xf numFmtId="0" fontId="1" fillId="0" borderId="0" xfId="0" applyFont="1" applyFill="1"/>
    <xf numFmtId="0" fontId="1" fillId="2" borderId="0" xfId="0" applyFont="1" applyFill="1"/>
    <xf numFmtId="0" fontId="0" fillId="2" borderId="0" xfId="0" applyFill="1"/>
    <xf numFmtId="164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B267-1238-4EC4-A67D-FAAB6A50B685}">
  <dimension ref="A1:H23"/>
  <sheetViews>
    <sheetView tabSelected="1" workbookViewId="0">
      <selection activeCell="H14" sqref="H14"/>
    </sheetView>
  </sheetViews>
  <sheetFormatPr baseColWidth="10" defaultRowHeight="14.4" x14ac:dyDescent="0.3"/>
  <cols>
    <col min="1" max="1" width="22.33203125" customWidth="1"/>
    <col min="2" max="3" width="10" customWidth="1"/>
    <col min="4" max="4" width="14.109375" customWidth="1"/>
    <col min="5" max="5" width="12.109375" customWidth="1"/>
    <col min="6" max="6" width="0.77734375" customWidth="1"/>
  </cols>
  <sheetData>
    <row r="1" spans="1:8" x14ac:dyDescent="0.3">
      <c r="A1" s="8" t="s">
        <v>9</v>
      </c>
      <c r="B1" s="11" t="s">
        <v>0</v>
      </c>
      <c r="C1" s="11" t="s">
        <v>5</v>
      </c>
      <c r="D1" s="11" t="s">
        <v>8</v>
      </c>
      <c r="E1" s="11" t="s">
        <v>7</v>
      </c>
      <c r="G1">
        <v>0.95</v>
      </c>
      <c r="H1" s="1" t="s">
        <v>25</v>
      </c>
    </row>
    <row r="2" spans="1:8" x14ac:dyDescent="0.3">
      <c r="A2" t="s">
        <v>10</v>
      </c>
      <c r="B2" s="12">
        <v>18</v>
      </c>
      <c r="C2">
        <f t="shared" ref="C2:C16" si="0">B2*$G$1</f>
        <v>17.099999999999998</v>
      </c>
      <c r="D2" s="2">
        <f>VLOOKUP(C2,'API fee-model'!$A$1:$D$6,3)+(C2*VLOOKUP(C2,'API fee-model'!$A$1:$D$6,4))</f>
        <v>12</v>
      </c>
      <c r="E2" s="2">
        <f>D2/12</f>
        <v>1</v>
      </c>
    </row>
    <row r="3" spans="1:8" x14ac:dyDescent="0.3">
      <c r="A3" t="s">
        <v>11</v>
      </c>
      <c r="B3" s="12">
        <v>38</v>
      </c>
      <c r="C3">
        <f t="shared" si="0"/>
        <v>36.1</v>
      </c>
      <c r="D3" s="2">
        <f>VLOOKUP(C3,'API fee-model'!$A$1:$D$6,3)+(C3*VLOOKUP(C3,'API fee-model'!$A$1:$D$6,4))</f>
        <v>15.249000000000001</v>
      </c>
      <c r="E3" s="2">
        <f t="shared" ref="E3:E16" si="1">D3/12</f>
        <v>1.27075</v>
      </c>
    </row>
    <row r="4" spans="1:8" x14ac:dyDescent="0.3">
      <c r="A4" t="s">
        <v>12</v>
      </c>
      <c r="B4" s="12">
        <v>100</v>
      </c>
      <c r="C4">
        <f t="shared" si="0"/>
        <v>95</v>
      </c>
      <c r="D4" s="2">
        <f>VLOOKUP(C4,'API fee-model'!$A$1:$D$6,3)+(C4*VLOOKUP(C4,'API fee-model'!$A$1:$D$6,4))</f>
        <v>20.549999999999997</v>
      </c>
      <c r="E4" s="2">
        <f t="shared" si="1"/>
        <v>1.7124999999999997</v>
      </c>
    </row>
    <row r="5" spans="1:8" x14ac:dyDescent="0.3">
      <c r="A5" t="s">
        <v>13</v>
      </c>
      <c r="B5" s="12">
        <v>130</v>
      </c>
      <c r="C5">
        <f t="shared" si="0"/>
        <v>123.5</v>
      </c>
      <c r="D5" s="2">
        <f>VLOOKUP(C5,'API fee-model'!$A$1:$D$6,3)+(C5*VLOOKUP(C5,'API fee-model'!$A$1:$D$6,4))</f>
        <v>22.41</v>
      </c>
      <c r="E5" s="2">
        <f t="shared" si="1"/>
        <v>1.8674999999999999</v>
      </c>
    </row>
    <row r="6" spans="1:8" x14ac:dyDescent="0.3">
      <c r="A6" t="s">
        <v>14</v>
      </c>
      <c r="B6" s="12">
        <v>150</v>
      </c>
      <c r="C6">
        <f t="shared" si="0"/>
        <v>142.5</v>
      </c>
      <c r="D6" s="2">
        <f>VLOOKUP(C6,'API fee-model'!$A$1:$D$6,3)+(C6*VLOOKUP(C6,'API fee-model'!$A$1:$D$6,4))</f>
        <v>23.549999999999997</v>
      </c>
      <c r="E6" s="2">
        <f t="shared" si="1"/>
        <v>1.9624999999999997</v>
      </c>
    </row>
    <row r="7" spans="1:8" x14ac:dyDescent="0.3">
      <c r="A7" t="s">
        <v>15</v>
      </c>
      <c r="B7" s="12">
        <v>250</v>
      </c>
      <c r="C7">
        <f t="shared" si="0"/>
        <v>237.5</v>
      </c>
      <c r="D7" s="2">
        <f>VLOOKUP(C7,'API fee-model'!$A$1:$D$6,3)+(C7*VLOOKUP(C7,'API fee-model'!$A$1:$D$6,4))</f>
        <v>29.25</v>
      </c>
      <c r="E7" s="2">
        <f t="shared" si="1"/>
        <v>2.4375</v>
      </c>
    </row>
    <row r="8" spans="1:8" x14ac:dyDescent="0.3">
      <c r="A8" t="s">
        <v>16</v>
      </c>
      <c r="B8" s="12">
        <v>235</v>
      </c>
      <c r="C8">
        <f t="shared" si="0"/>
        <v>223.25</v>
      </c>
      <c r="D8" s="2">
        <f>VLOOKUP(C8,'API fee-model'!$A$1:$D$6,3)+(C8*VLOOKUP(C8,'API fee-model'!$A$1:$D$6,4))</f>
        <v>28.395</v>
      </c>
      <c r="E8" s="2">
        <f t="shared" si="1"/>
        <v>2.36625</v>
      </c>
    </row>
    <row r="9" spans="1:8" x14ac:dyDescent="0.3">
      <c r="A9" t="s">
        <v>17</v>
      </c>
      <c r="B9" s="12">
        <v>155</v>
      </c>
      <c r="C9">
        <f t="shared" si="0"/>
        <v>147.25</v>
      </c>
      <c r="D9" s="2">
        <f>VLOOKUP(C9,'API fee-model'!$A$1:$D$6,3)+(C9*VLOOKUP(C9,'API fee-model'!$A$1:$D$6,4))</f>
        <v>23.835000000000001</v>
      </c>
      <c r="E9" s="2">
        <f t="shared" si="1"/>
        <v>1.9862500000000001</v>
      </c>
    </row>
    <row r="10" spans="1:8" x14ac:dyDescent="0.3">
      <c r="A10" t="s">
        <v>18</v>
      </c>
      <c r="B10" s="12">
        <v>45</v>
      </c>
      <c r="C10">
        <f t="shared" si="0"/>
        <v>42.75</v>
      </c>
      <c r="D10" s="2">
        <f>VLOOKUP(C10,'API fee-model'!$A$1:$D$6,3)+(C10*VLOOKUP(C10,'API fee-model'!$A$1:$D$6,4))</f>
        <v>15.8475</v>
      </c>
      <c r="E10" s="2">
        <f t="shared" si="1"/>
        <v>1.3206249999999999</v>
      </c>
    </row>
    <row r="11" spans="1:8" x14ac:dyDescent="0.3">
      <c r="A11" t="s">
        <v>19</v>
      </c>
      <c r="B11" s="12">
        <v>125</v>
      </c>
      <c r="C11">
        <f t="shared" si="0"/>
        <v>118.75</v>
      </c>
      <c r="D11" s="2">
        <f>VLOOKUP(C11,'API fee-model'!$A$1:$D$6,3)+(C11*VLOOKUP(C11,'API fee-model'!$A$1:$D$6,4))</f>
        <v>22.125</v>
      </c>
      <c r="E11" s="2">
        <f t="shared" si="1"/>
        <v>1.84375</v>
      </c>
    </row>
    <row r="12" spans="1:8" x14ac:dyDescent="0.3">
      <c r="A12" t="s">
        <v>20</v>
      </c>
      <c r="B12" s="12">
        <v>280</v>
      </c>
      <c r="C12">
        <f t="shared" si="0"/>
        <v>266</v>
      </c>
      <c r="D12" s="2">
        <f>VLOOKUP(C12,'API fee-model'!$A$1:$D$6,3)+(C12*VLOOKUP(C12,'API fee-model'!$A$1:$D$6,4))</f>
        <v>30.96</v>
      </c>
      <c r="E12" s="2">
        <f t="shared" si="1"/>
        <v>2.58</v>
      </c>
    </row>
    <row r="13" spans="1:8" x14ac:dyDescent="0.3">
      <c r="A13" t="s">
        <v>21</v>
      </c>
      <c r="B13" s="12">
        <v>80</v>
      </c>
      <c r="C13">
        <f t="shared" si="0"/>
        <v>76</v>
      </c>
      <c r="D13" s="2">
        <f>VLOOKUP(C13,'API fee-model'!$A$1:$D$6,3)+(C13*VLOOKUP(C13,'API fee-model'!$A$1:$D$6,4))</f>
        <v>18.84</v>
      </c>
      <c r="E13" s="2">
        <f t="shared" si="1"/>
        <v>1.57</v>
      </c>
    </row>
    <row r="14" spans="1:8" x14ac:dyDescent="0.3">
      <c r="A14" t="s">
        <v>22</v>
      </c>
      <c r="B14" s="12">
        <v>480</v>
      </c>
      <c r="C14">
        <f t="shared" si="0"/>
        <v>456</v>
      </c>
      <c r="D14" s="2">
        <f>VLOOKUP(C14,'API fee-model'!$A$1:$D$6,3)+(C14*VLOOKUP(C14,'API fee-model'!$A$1:$D$6,4))</f>
        <v>42.36</v>
      </c>
      <c r="E14" s="2">
        <f t="shared" si="1"/>
        <v>3.53</v>
      </c>
    </row>
    <row r="15" spans="1:8" x14ac:dyDescent="0.3">
      <c r="A15" t="s">
        <v>23</v>
      </c>
      <c r="B15" s="12">
        <v>125</v>
      </c>
      <c r="C15">
        <f t="shared" si="0"/>
        <v>118.75</v>
      </c>
      <c r="D15" s="2">
        <f>VLOOKUP(C15,'API fee-model'!$A$1:$D$6,3)+(C15*VLOOKUP(C15,'API fee-model'!$A$1:$D$6,4))</f>
        <v>22.125</v>
      </c>
      <c r="E15" s="2">
        <f t="shared" si="1"/>
        <v>1.84375</v>
      </c>
    </row>
    <row r="16" spans="1:8" x14ac:dyDescent="0.3">
      <c r="A16" t="s">
        <v>24</v>
      </c>
      <c r="B16" s="12">
        <v>260</v>
      </c>
      <c r="C16">
        <f t="shared" si="0"/>
        <v>247</v>
      </c>
      <c r="D16" s="2">
        <f>VLOOKUP(C16,'API fee-model'!$A$1:$D$6,3)+(C16*VLOOKUP(C16,'API fee-model'!$A$1:$D$6,4))</f>
        <v>29.82</v>
      </c>
      <c r="E16" s="2">
        <f t="shared" si="1"/>
        <v>2.4849999999999999</v>
      </c>
    </row>
    <row r="17" spans="1:6" x14ac:dyDescent="0.3">
      <c r="D17" s="2"/>
      <c r="E17" s="2"/>
    </row>
    <row r="18" spans="1:6" x14ac:dyDescent="0.3">
      <c r="D18" s="2"/>
      <c r="E18" s="2"/>
    </row>
    <row r="19" spans="1:6" x14ac:dyDescent="0.3">
      <c r="D19" s="2"/>
    </row>
    <row r="20" spans="1:6" ht="4.95" customHeight="1" x14ac:dyDescent="0.3"/>
    <row r="21" spans="1:6" x14ac:dyDescent="0.3">
      <c r="A21" s="8" t="s">
        <v>6</v>
      </c>
      <c r="B21" s="9"/>
      <c r="C21" s="9"/>
      <c r="D21" s="10">
        <f>SUM(D2:D20)</f>
        <v>357.31650000000002</v>
      </c>
      <c r="E21" s="10">
        <f>SUM(E2:E20)</f>
        <v>29.776375000000002</v>
      </c>
    </row>
    <row r="22" spans="1:6" ht="3" customHeight="1" x14ac:dyDescent="0.3"/>
    <row r="23" spans="1:6" x14ac:dyDescent="0.3">
      <c r="D23" s="3"/>
      <c r="E23" s="6"/>
      <c r="F23" s="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8AEC-3CF6-DD49-8DD2-D81CC200E28A}">
  <dimension ref="A1:D6"/>
  <sheetViews>
    <sheetView workbookViewId="0">
      <selection activeCell="E33" sqref="E33"/>
    </sheetView>
  </sheetViews>
  <sheetFormatPr baseColWidth="10" defaultRowHeight="14.4" x14ac:dyDescent="0.3"/>
  <cols>
    <col min="1" max="1" width="12.44140625" customWidth="1"/>
    <col min="2" max="2" width="13.77734375" customWidth="1"/>
    <col min="3" max="3" width="10.33203125" customWidth="1"/>
    <col min="4" max="4" width="10.6640625" customWidth="1"/>
  </cols>
  <sheetData>
    <row r="1" spans="1:4" x14ac:dyDescent="0.3">
      <c r="A1" s="5" t="s">
        <v>2</v>
      </c>
      <c r="B1" s="5" t="s">
        <v>1</v>
      </c>
      <c r="C1" s="5" t="s">
        <v>3</v>
      </c>
      <c r="D1" s="5" t="s">
        <v>4</v>
      </c>
    </row>
    <row r="2" spans="1:4" x14ac:dyDescent="0.3">
      <c r="A2" s="4">
        <v>0</v>
      </c>
      <c r="B2" s="4">
        <v>19</v>
      </c>
      <c r="C2" s="4">
        <v>12</v>
      </c>
      <c r="D2" s="4">
        <v>0</v>
      </c>
    </row>
    <row r="3" spans="1:4" x14ac:dyDescent="0.3">
      <c r="A3" s="4">
        <v>20</v>
      </c>
      <c r="B3" s="4">
        <v>99</v>
      </c>
      <c r="C3" s="4">
        <v>12</v>
      </c>
      <c r="D3" s="4">
        <v>0.09</v>
      </c>
    </row>
    <row r="4" spans="1:4" x14ac:dyDescent="0.3">
      <c r="A4" s="4">
        <v>100</v>
      </c>
      <c r="B4" s="4">
        <v>499</v>
      </c>
      <c r="C4" s="4">
        <v>15</v>
      </c>
      <c r="D4" s="4">
        <v>0.06</v>
      </c>
    </row>
    <row r="5" spans="1:4" x14ac:dyDescent="0.3">
      <c r="A5" s="4">
        <v>500</v>
      </c>
      <c r="B5" s="4">
        <v>999</v>
      </c>
      <c r="C5" s="4">
        <v>25</v>
      </c>
      <c r="D5" s="4">
        <v>0.04</v>
      </c>
    </row>
    <row r="6" spans="1:4" x14ac:dyDescent="0.3">
      <c r="A6" s="4">
        <v>1000</v>
      </c>
      <c r="B6" s="4"/>
      <c r="C6" s="4">
        <v>65</v>
      </c>
      <c r="D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SMA plants</vt:lpstr>
      <vt:lpstr>API fee-model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Stübing | SOLARFOX®</dc:creator>
  <cp:lastModifiedBy>Patrick Fischer (External)</cp:lastModifiedBy>
  <dcterms:created xsi:type="dcterms:W3CDTF">2020-04-01T15:44:04Z</dcterms:created>
  <dcterms:modified xsi:type="dcterms:W3CDTF">2021-02-18T10:00:19Z</dcterms:modified>
</cp:coreProperties>
</file>